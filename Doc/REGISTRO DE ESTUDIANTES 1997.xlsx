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RI\SANTA GEMA\1997-2022\"/>
    </mc:Choice>
  </mc:AlternateContent>
  <xr:revisionPtr revIDLastSave="0" documentId="13_ncr:1_{EE20803A-0A81-4F61-A5EA-8D371F07931D}" xr6:coauthVersionLast="47" xr6:coauthVersionMax="47" xr10:uidLastSave="{00000000-0000-0000-0000-000000000000}"/>
  <bookViews>
    <workbookView xWindow="-120" yWindow="-120" windowWidth="20730" windowHeight="11160" xr2:uid="{7AF388F5-83C8-4FCD-B7BA-D4C5853D60FA}"/>
  </bookViews>
  <sheets>
    <sheet name="Cuadro" sheetId="1" r:id="rId1"/>
    <sheet name="Promo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B27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A8" i="2"/>
  <c r="R26" i="1"/>
  <c r="R27" i="1"/>
  <c r="R28" i="1"/>
  <c r="R29" i="1"/>
  <c r="R30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5" i="1"/>
</calcChain>
</file>

<file path=xl/sharedStrings.xml><?xml version="1.0" encoding="utf-8"?>
<sst xmlns="http://schemas.openxmlformats.org/spreadsheetml/2006/main" count="107" uniqueCount="72">
  <si>
    <t>Idioma Nacional</t>
  </si>
  <si>
    <t>Matemática</t>
  </si>
  <si>
    <t>Estudios Sociales</t>
  </si>
  <si>
    <t>Ciencias Naturales</t>
  </si>
  <si>
    <t>Idioma Extranjero</t>
  </si>
  <si>
    <t>Dibujo Artístico</t>
  </si>
  <si>
    <t>Educación Musical</t>
  </si>
  <si>
    <t>Cultura Física</t>
  </si>
  <si>
    <t>Contabilidad</t>
  </si>
  <si>
    <t>Macanografía</t>
  </si>
  <si>
    <t>Taquigrafía</t>
  </si>
  <si>
    <t>Computación</t>
  </si>
  <si>
    <t>Manualidades</t>
  </si>
  <si>
    <t>Religión</t>
  </si>
  <si>
    <t>Asociación de Clases</t>
  </si>
  <si>
    <t>Almeida Lucas Yahaira</t>
  </si>
  <si>
    <t>A</t>
  </si>
  <si>
    <t>Promedio</t>
  </si>
  <si>
    <t>APELLIDOS Y NOMBRES</t>
  </si>
  <si>
    <t>Bermello Pinto</t>
  </si>
  <si>
    <t>Burgos Jessica Asunción</t>
  </si>
  <si>
    <t>Chica Chica Silvia</t>
  </si>
  <si>
    <t>Fernández Fernández Cristina</t>
  </si>
  <si>
    <t>Loor Párraga Denny</t>
  </si>
  <si>
    <t>Mero Santos Stela</t>
  </si>
  <si>
    <t>Moreira Ochoa Carmen</t>
  </si>
  <si>
    <t>Muñoz Zambrano Verónica</t>
  </si>
  <si>
    <t>Peralta Meza María</t>
  </si>
  <si>
    <t>Ponce Ardila Andrea</t>
  </si>
  <si>
    <t>Ponce Ardila Jenifer</t>
  </si>
  <si>
    <t>Quiroz Cedeño Dexy</t>
  </si>
  <si>
    <t>Quiroz Cedeño Gladys</t>
  </si>
  <si>
    <t>Quiroz Cedeño Johanna</t>
  </si>
  <si>
    <t>Sánchez Vidal Yessenia</t>
  </si>
  <si>
    <t>Santos Chica María</t>
  </si>
  <si>
    <t>Vélez Loor Lenny</t>
  </si>
  <si>
    <t>Vera Cedeño Arminda</t>
  </si>
  <si>
    <t>Vera Orellana Vicenta</t>
  </si>
  <si>
    <t>Vera Santos Mónica</t>
  </si>
  <si>
    <t>Vera Vélez Ángela</t>
  </si>
  <si>
    <t>Vera Vélez Rosa</t>
  </si>
  <si>
    <t>Zambrano Basurto Johanna</t>
  </si>
  <si>
    <t>Zambrano Carreño María</t>
  </si>
  <si>
    <t>Zambrano Loor Juana</t>
  </si>
  <si>
    <t>Nó.</t>
  </si>
  <si>
    <t>Cuadro de Nota spormediales de Aprovechamiento, correspondiente al Primer Curso de Ciclo Básico</t>
  </si>
  <si>
    <t>Colegio Particular Vespertino Femenino Santa Gema</t>
  </si>
  <si>
    <t>AÑO LECTIVO 1997 - 1998</t>
  </si>
  <si>
    <t>Disciplina</t>
  </si>
  <si>
    <t xml:space="preserve">REPÚBLICA DEL ECUADOR </t>
  </si>
  <si>
    <t xml:space="preserve">Colegio Particular Vespertino Femenino </t>
  </si>
  <si>
    <t>“SANTA GEMA”</t>
  </si>
  <si>
    <t xml:space="preserve">PICHINCHA – MANABÍ – ECUADOR </t>
  </si>
  <si>
    <t xml:space="preserve">Certificado Anual de Promoción </t>
  </si>
  <si>
    <t>Año Lectivo:  1997 - 1998</t>
  </si>
  <si>
    <r>
      <t xml:space="preserve">El Colegio, conforme al Art. 315 del Reglamento General de la Ley de Educación, confiere el presente </t>
    </r>
    <r>
      <rPr>
        <b/>
        <sz val="12"/>
        <color theme="1"/>
        <rFont val="Times New Roman"/>
        <family val="1"/>
      </rPr>
      <t>CERTIFICADO DE PROMOCIÓN</t>
    </r>
    <r>
      <rPr>
        <sz val="12"/>
        <color theme="1"/>
        <rFont val="Times New Roman"/>
        <family val="1"/>
      </rPr>
      <t xml:space="preserve"> a la alumna:</t>
    </r>
  </si>
  <si>
    <t>Del Primer Curso del Ciclo Básico, Sección Vespertina, luego de haberse presentado a exámenes y obtenido las siguientes calificaciones:</t>
  </si>
  <si>
    <t>Asignaturas</t>
  </si>
  <si>
    <t>Promedio final</t>
  </si>
  <si>
    <t>Observaciones</t>
  </si>
  <si>
    <t>Aprobado</t>
  </si>
  <si>
    <t>Ciencias Sociales</t>
  </si>
  <si>
    <t xml:space="preserve">Idioma Extranjero </t>
  </si>
  <si>
    <t>Educación Física</t>
  </si>
  <si>
    <t xml:space="preserve">Contabilidad </t>
  </si>
  <si>
    <t>Mecanografía</t>
  </si>
  <si>
    <t xml:space="preserve">Manualidades </t>
  </si>
  <si>
    <t xml:space="preserve">Promedio Global de rendimiento </t>
  </si>
  <si>
    <t xml:space="preserve">Por lo tanto, se le promueve al Segundo Curso del Ciclo Básico </t>
  </si>
  <si>
    <t>Así consta en los libros de calificaciones de la Secretaría del Plantel.</t>
  </si>
  <si>
    <t>Pichincha, 26 de enero de 1998.</t>
  </si>
  <si>
    <t>RECTOR/A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</si>
</sst>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36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40CE-642E-4A86-9B87-D16867A6F1DF}">
  <dimension ref="A1:T32"/>
  <sheetViews>
    <sheetView tabSelected="1" workbookViewId="0">
      <selection activeCell="E9" sqref="E9"/>
    </sheetView>
  </sheetViews>
  <sheetFormatPr baseColWidth="10" defaultRowHeight="15" x14ac:dyDescent="0.25"/>
  <cols>
    <col min="1" max="1" width="5.28515625" customWidth="1"/>
    <col min="2" max="2" width="27.7109375" customWidth="1"/>
    <col min="3" max="20" width="5.7109375" customWidth="1"/>
  </cols>
  <sheetData>
    <row r="1" spans="1:20" x14ac:dyDescent="0.25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0" x14ac:dyDescent="0.25">
      <c r="A2" s="9" t="s">
        <v>47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 x14ac:dyDescent="0.25">
      <c r="A3" s="10" t="s">
        <v>45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20" ht="72.75" customHeight="1" x14ac:dyDescent="0.25">
      <c r="A4" s="3" t="s">
        <v>44</v>
      </c>
      <c r="B4" s="3" t="s">
        <v>18</v>
      </c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17</v>
      </c>
      <c r="S4" s="4" t="s">
        <v>48</v>
      </c>
      <c r="T4" s="1"/>
    </row>
    <row r="5" spans="1:20" x14ac:dyDescent="0.25">
      <c r="A5" s="6">
        <v>1</v>
      </c>
      <c r="B5" s="5" t="s">
        <v>15</v>
      </c>
      <c r="C5" s="6">
        <v>17</v>
      </c>
      <c r="D5" s="6">
        <v>17</v>
      </c>
      <c r="E5" s="6">
        <v>16</v>
      </c>
      <c r="F5" s="6">
        <v>17</v>
      </c>
      <c r="G5" s="6">
        <v>15</v>
      </c>
      <c r="H5" s="6">
        <v>17</v>
      </c>
      <c r="I5" s="6">
        <v>17</v>
      </c>
      <c r="J5" s="6">
        <v>20</v>
      </c>
      <c r="K5" s="6">
        <v>18</v>
      </c>
      <c r="L5" s="6">
        <v>16</v>
      </c>
      <c r="M5" s="6">
        <v>17</v>
      </c>
      <c r="N5" s="6">
        <v>19</v>
      </c>
      <c r="O5" s="6">
        <v>18</v>
      </c>
      <c r="P5" s="6">
        <v>19</v>
      </c>
      <c r="Q5" s="6" t="s">
        <v>16</v>
      </c>
      <c r="R5" s="7">
        <f>+AVERAGE(C5:Q5)</f>
        <v>17.357142857142858</v>
      </c>
      <c r="S5" s="8">
        <v>18</v>
      </c>
    </row>
    <row r="6" spans="1:20" x14ac:dyDescent="0.25">
      <c r="A6" s="6">
        <v>2</v>
      </c>
      <c r="B6" s="5" t="s">
        <v>19</v>
      </c>
      <c r="C6" s="6">
        <v>16</v>
      </c>
      <c r="D6" s="6">
        <v>16</v>
      </c>
      <c r="E6" s="6">
        <v>14</v>
      </c>
      <c r="F6" s="6">
        <v>17</v>
      </c>
      <c r="G6" s="6">
        <v>17</v>
      </c>
      <c r="H6" s="6">
        <v>18</v>
      </c>
      <c r="I6" s="6">
        <v>19</v>
      </c>
      <c r="J6" s="6">
        <v>20</v>
      </c>
      <c r="K6" s="6">
        <v>18</v>
      </c>
      <c r="L6" s="6">
        <v>16</v>
      </c>
      <c r="M6" s="6">
        <v>16</v>
      </c>
      <c r="N6" s="6">
        <v>18</v>
      </c>
      <c r="O6" s="6">
        <v>18</v>
      </c>
      <c r="P6" s="6">
        <v>19</v>
      </c>
      <c r="Q6" s="6" t="s">
        <v>16</v>
      </c>
      <c r="R6" s="7">
        <f>+AVERAGE(C6:Q6)</f>
        <v>17.285714285714285</v>
      </c>
      <c r="S6" s="8">
        <v>18</v>
      </c>
    </row>
    <row r="7" spans="1:20" x14ac:dyDescent="0.25">
      <c r="A7" s="6">
        <v>3</v>
      </c>
      <c r="B7" s="5" t="s">
        <v>20</v>
      </c>
      <c r="C7" s="6">
        <v>15</v>
      </c>
      <c r="D7" s="6">
        <v>13</v>
      </c>
      <c r="E7" s="6">
        <v>17</v>
      </c>
      <c r="F7" s="6">
        <v>16</v>
      </c>
      <c r="G7" s="6">
        <v>15</v>
      </c>
      <c r="H7" s="6">
        <v>15</v>
      </c>
      <c r="I7" s="6">
        <v>14</v>
      </c>
      <c r="J7" s="6">
        <v>20</v>
      </c>
      <c r="K7" s="6">
        <v>16</v>
      </c>
      <c r="L7" s="6">
        <v>15</v>
      </c>
      <c r="M7" s="6">
        <v>14</v>
      </c>
      <c r="N7" s="6">
        <v>17</v>
      </c>
      <c r="O7" s="6">
        <v>17</v>
      </c>
      <c r="P7" s="6">
        <v>19</v>
      </c>
      <c r="Q7" s="6" t="s">
        <v>16</v>
      </c>
      <c r="R7" s="7">
        <f>+AVERAGE(C7:Q7)</f>
        <v>15.928571428571429</v>
      </c>
      <c r="S7" s="8">
        <v>18</v>
      </c>
    </row>
    <row r="8" spans="1:20" x14ac:dyDescent="0.25">
      <c r="A8" s="6">
        <v>4</v>
      </c>
      <c r="B8" s="5" t="s">
        <v>21</v>
      </c>
      <c r="C8" s="6">
        <v>18</v>
      </c>
      <c r="D8" s="6">
        <v>16</v>
      </c>
      <c r="E8" s="6">
        <v>16</v>
      </c>
      <c r="F8" s="6">
        <v>18</v>
      </c>
      <c r="G8" s="6">
        <v>16</v>
      </c>
      <c r="H8" s="6">
        <v>18</v>
      </c>
      <c r="I8" s="6">
        <v>16</v>
      </c>
      <c r="J8" s="6">
        <v>20</v>
      </c>
      <c r="K8" s="6">
        <v>17</v>
      </c>
      <c r="L8" s="6">
        <v>16</v>
      </c>
      <c r="M8" s="6">
        <v>18</v>
      </c>
      <c r="N8" s="6">
        <v>17</v>
      </c>
      <c r="O8" s="6">
        <v>19</v>
      </c>
      <c r="P8" s="6">
        <v>19</v>
      </c>
      <c r="Q8" s="6" t="s">
        <v>16</v>
      </c>
      <c r="R8" s="7">
        <f>+AVERAGE(C8:Q8)</f>
        <v>17.428571428571427</v>
      </c>
      <c r="S8" s="8">
        <v>18</v>
      </c>
    </row>
    <row r="9" spans="1:20" x14ac:dyDescent="0.25">
      <c r="A9" s="6">
        <v>5</v>
      </c>
      <c r="B9" s="5" t="s">
        <v>22</v>
      </c>
      <c r="C9" s="6">
        <v>16</v>
      </c>
      <c r="D9" s="6">
        <v>14</v>
      </c>
      <c r="E9" s="6">
        <v>15</v>
      </c>
      <c r="F9" s="6">
        <v>15</v>
      </c>
      <c r="G9" s="6">
        <v>15</v>
      </c>
      <c r="H9" s="6">
        <v>19</v>
      </c>
      <c r="I9" s="6">
        <v>16</v>
      </c>
      <c r="J9" s="6">
        <v>19</v>
      </c>
      <c r="K9" s="6">
        <v>17</v>
      </c>
      <c r="L9" s="6">
        <v>18</v>
      </c>
      <c r="M9" s="6">
        <v>19</v>
      </c>
      <c r="N9" s="6">
        <v>17</v>
      </c>
      <c r="O9" s="6">
        <v>16</v>
      </c>
      <c r="P9" s="6">
        <v>18</v>
      </c>
      <c r="Q9" s="6" t="s">
        <v>16</v>
      </c>
      <c r="R9" s="7">
        <f>+AVERAGE(C9:Q9)</f>
        <v>16.714285714285715</v>
      </c>
      <c r="S9" s="8">
        <v>18</v>
      </c>
    </row>
    <row r="10" spans="1:20" x14ac:dyDescent="0.25">
      <c r="A10" s="6">
        <v>6</v>
      </c>
      <c r="B10" s="5" t="s">
        <v>23</v>
      </c>
      <c r="C10" s="6">
        <v>13</v>
      </c>
      <c r="D10" s="6">
        <v>14</v>
      </c>
      <c r="E10" s="6">
        <v>13</v>
      </c>
      <c r="F10" s="6">
        <v>15</v>
      </c>
      <c r="G10" s="6">
        <v>13</v>
      </c>
      <c r="H10" s="6">
        <v>18</v>
      </c>
      <c r="I10" s="6">
        <v>16</v>
      </c>
      <c r="J10" s="6">
        <v>19</v>
      </c>
      <c r="K10" s="6">
        <v>17</v>
      </c>
      <c r="L10" s="6">
        <v>15</v>
      </c>
      <c r="M10" s="6">
        <v>15</v>
      </c>
      <c r="N10" s="6">
        <v>18</v>
      </c>
      <c r="O10" s="6">
        <v>19</v>
      </c>
      <c r="P10" s="6">
        <v>16</v>
      </c>
      <c r="Q10" s="6" t="s">
        <v>16</v>
      </c>
      <c r="R10" s="7">
        <f>+AVERAGE(C10:Q10)</f>
        <v>15.785714285714286</v>
      </c>
      <c r="S10" s="8">
        <v>18</v>
      </c>
    </row>
    <row r="11" spans="1:20" x14ac:dyDescent="0.25">
      <c r="A11" s="6">
        <v>7</v>
      </c>
      <c r="B11" s="5" t="s">
        <v>24</v>
      </c>
      <c r="C11" s="6">
        <v>19</v>
      </c>
      <c r="D11" s="6">
        <v>18</v>
      </c>
      <c r="E11" s="6">
        <v>18</v>
      </c>
      <c r="F11" s="6">
        <v>19</v>
      </c>
      <c r="G11" s="6">
        <v>19</v>
      </c>
      <c r="H11" s="6">
        <v>18</v>
      </c>
      <c r="I11" s="6">
        <v>18</v>
      </c>
      <c r="J11" s="6">
        <v>20</v>
      </c>
      <c r="K11" s="6">
        <v>18</v>
      </c>
      <c r="L11" s="6">
        <v>19</v>
      </c>
      <c r="M11" s="6">
        <v>19</v>
      </c>
      <c r="N11" s="6">
        <v>18</v>
      </c>
      <c r="O11" s="6">
        <v>20</v>
      </c>
      <c r="P11" s="6">
        <v>19</v>
      </c>
      <c r="Q11" s="6" t="s">
        <v>16</v>
      </c>
      <c r="R11" s="7">
        <f>+AVERAGE(C11:Q11)</f>
        <v>18.714285714285715</v>
      </c>
      <c r="S11" s="8">
        <v>18</v>
      </c>
    </row>
    <row r="12" spans="1:20" x14ac:dyDescent="0.25">
      <c r="A12" s="6">
        <v>8</v>
      </c>
      <c r="B12" s="5" t="s">
        <v>25</v>
      </c>
      <c r="C12" s="6">
        <v>15</v>
      </c>
      <c r="D12" s="6">
        <v>14</v>
      </c>
      <c r="E12" s="6">
        <v>13</v>
      </c>
      <c r="F12" s="6">
        <v>16</v>
      </c>
      <c r="G12" s="6">
        <v>13</v>
      </c>
      <c r="H12" s="6">
        <v>18</v>
      </c>
      <c r="I12" s="6">
        <v>14</v>
      </c>
      <c r="J12" s="6">
        <v>20</v>
      </c>
      <c r="K12" s="6">
        <v>16</v>
      </c>
      <c r="L12" s="6">
        <v>15</v>
      </c>
      <c r="M12" s="6">
        <v>15</v>
      </c>
      <c r="N12" s="6">
        <v>18</v>
      </c>
      <c r="O12" s="6">
        <v>17</v>
      </c>
      <c r="P12" s="6">
        <v>17</v>
      </c>
      <c r="Q12" s="6" t="s">
        <v>16</v>
      </c>
      <c r="R12" s="7">
        <f>+AVERAGE(C12:Q12)</f>
        <v>15.785714285714286</v>
      </c>
      <c r="S12" s="8">
        <v>18</v>
      </c>
    </row>
    <row r="13" spans="1:20" x14ac:dyDescent="0.25">
      <c r="A13" s="6">
        <v>9</v>
      </c>
      <c r="B13" s="5" t="s">
        <v>26</v>
      </c>
      <c r="C13" s="6">
        <v>17</v>
      </c>
      <c r="D13" s="6">
        <v>16</v>
      </c>
      <c r="E13" s="6">
        <v>14</v>
      </c>
      <c r="F13" s="6">
        <v>18</v>
      </c>
      <c r="G13" s="6">
        <v>19</v>
      </c>
      <c r="H13" s="6">
        <v>16</v>
      </c>
      <c r="I13" s="6">
        <v>16</v>
      </c>
      <c r="J13" s="6">
        <v>20</v>
      </c>
      <c r="K13" s="6">
        <v>18</v>
      </c>
      <c r="L13" s="6">
        <v>18</v>
      </c>
      <c r="M13" s="6">
        <v>17</v>
      </c>
      <c r="N13" s="6">
        <v>19</v>
      </c>
      <c r="O13" s="6">
        <v>18</v>
      </c>
      <c r="P13" s="6">
        <v>17</v>
      </c>
      <c r="Q13" s="6" t="s">
        <v>16</v>
      </c>
      <c r="R13" s="7">
        <f>+AVERAGE(C13:Q13)</f>
        <v>17.357142857142858</v>
      </c>
      <c r="S13" s="8">
        <v>18</v>
      </c>
    </row>
    <row r="14" spans="1:20" x14ac:dyDescent="0.25">
      <c r="A14" s="6">
        <v>10</v>
      </c>
      <c r="B14" s="5" t="s">
        <v>27</v>
      </c>
      <c r="C14" s="6">
        <v>19</v>
      </c>
      <c r="D14" s="6">
        <v>18</v>
      </c>
      <c r="E14" s="6">
        <v>18</v>
      </c>
      <c r="F14" s="6">
        <v>19</v>
      </c>
      <c r="G14" s="6">
        <v>16</v>
      </c>
      <c r="H14" s="6">
        <v>19</v>
      </c>
      <c r="I14" s="6">
        <v>19</v>
      </c>
      <c r="J14" s="6">
        <v>19</v>
      </c>
      <c r="K14" s="6">
        <v>19</v>
      </c>
      <c r="L14" s="6">
        <v>19</v>
      </c>
      <c r="M14" s="6">
        <v>20</v>
      </c>
      <c r="N14" s="6">
        <v>19</v>
      </c>
      <c r="O14" s="6">
        <v>19</v>
      </c>
      <c r="P14" s="6">
        <v>19</v>
      </c>
      <c r="Q14" s="6" t="s">
        <v>16</v>
      </c>
      <c r="R14" s="7">
        <f>+AVERAGE(C14:Q14)</f>
        <v>18.714285714285715</v>
      </c>
      <c r="S14" s="8">
        <v>18</v>
      </c>
    </row>
    <row r="15" spans="1:20" x14ac:dyDescent="0.25">
      <c r="A15" s="6">
        <v>11</v>
      </c>
      <c r="B15" s="5" t="s">
        <v>28</v>
      </c>
      <c r="C15" s="6">
        <v>20</v>
      </c>
      <c r="D15" s="6">
        <v>19</v>
      </c>
      <c r="E15" s="6">
        <v>18</v>
      </c>
      <c r="F15" s="6">
        <v>20</v>
      </c>
      <c r="G15" s="6">
        <v>20</v>
      </c>
      <c r="H15" s="6">
        <v>19</v>
      </c>
      <c r="I15" s="6">
        <v>20</v>
      </c>
      <c r="J15" s="6">
        <v>19</v>
      </c>
      <c r="K15" s="6">
        <v>19</v>
      </c>
      <c r="L15" s="6">
        <v>19</v>
      </c>
      <c r="M15" s="6">
        <v>20</v>
      </c>
      <c r="N15" s="6">
        <v>19</v>
      </c>
      <c r="O15" s="6">
        <v>20</v>
      </c>
      <c r="P15" s="6">
        <v>20</v>
      </c>
      <c r="Q15" s="6" t="s">
        <v>16</v>
      </c>
      <c r="R15" s="7">
        <f>+AVERAGE(C15:Q15)</f>
        <v>19.428571428571427</v>
      </c>
      <c r="S15" s="8">
        <v>18</v>
      </c>
    </row>
    <row r="16" spans="1:20" x14ac:dyDescent="0.25">
      <c r="A16" s="6">
        <v>12</v>
      </c>
      <c r="B16" s="5" t="s">
        <v>29</v>
      </c>
      <c r="C16" s="6">
        <v>20</v>
      </c>
      <c r="D16" s="6">
        <v>20</v>
      </c>
      <c r="E16" s="6">
        <v>19</v>
      </c>
      <c r="F16" s="6">
        <v>20</v>
      </c>
      <c r="G16" s="6">
        <v>19</v>
      </c>
      <c r="H16" s="6">
        <v>19</v>
      </c>
      <c r="I16" s="6">
        <v>20</v>
      </c>
      <c r="J16" s="6">
        <v>20</v>
      </c>
      <c r="K16" s="6">
        <v>20</v>
      </c>
      <c r="L16" s="6">
        <v>20</v>
      </c>
      <c r="M16" s="6">
        <v>20</v>
      </c>
      <c r="N16" s="6">
        <v>20</v>
      </c>
      <c r="O16" s="6">
        <v>20</v>
      </c>
      <c r="P16" s="6">
        <v>20</v>
      </c>
      <c r="Q16" s="6" t="s">
        <v>16</v>
      </c>
      <c r="R16" s="7">
        <f>+AVERAGE(C16:Q16)</f>
        <v>19.785714285714285</v>
      </c>
      <c r="S16" s="8">
        <v>18</v>
      </c>
    </row>
    <row r="17" spans="1:19" x14ac:dyDescent="0.25">
      <c r="A17" s="6">
        <v>13</v>
      </c>
      <c r="B17" s="5" t="s">
        <v>30</v>
      </c>
      <c r="C17" s="6">
        <v>13</v>
      </c>
      <c r="D17" s="6">
        <v>13</v>
      </c>
      <c r="E17" s="6">
        <v>13</v>
      </c>
      <c r="F17" s="6">
        <v>13</v>
      </c>
      <c r="G17" s="6">
        <v>13</v>
      </c>
      <c r="H17" s="6">
        <v>16</v>
      </c>
      <c r="I17" s="6">
        <v>13</v>
      </c>
      <c r="J17" s="6">
        <v>18</v>
      </c>
      <c r="K17" s="6">
        <v>19</v>
      </c>
      <c r="L17" s="6">
        <v>13</v>
      </c>
      <c r="M17" s="6">
        <v>13</v>
      </c>
      <c r="N17" s="6">
        <v>19</v>
      </c>
      <c r="O17" s="6">
        <v>17</v>
      </c>
      <c r="P17" s="6">
        <v>16</v>
      </c>
      <c r="Q17" s="6" t="s">
        <v>16</v>
      </c>
      <c r="R17" s="7">
        <f>+AVERAGE(C17:Q17)</f>
        <v>14.928571428571429</v>
      </c>
      <c r="S17" s="8">
        <v>18</v>
      </c>
    </row>
    <row r="18" spans="1:19" x14ac:dyDescent="0.25">
      <c r="A18" s="6">
        <v>14</v>
      </c>
      <c r="B18" s="5" t="s">
        <v>31</v>
      </c>
      <c r="C18" s="6">
        <v>16</v>
      </c>
      <c r="D18" s="6">
        <v>15</v>
      </c>
      <c r="E18" s="6">
        <v>17</v>
      </c>
      <c r="F18" s="6">
        <v>15</v>
      </c>
      <c r="G18" s="6">
        <v>13</v>
      </c>
      <c r="H18" s="6">
        <v>17</v>
      </c>
      <c r="I18" s="6">
        <v>15</v>
      </c>
      <c r="J18" s="6">
        <v>19</v>
      </c>
      <c r="K18" s="6">
        <v>19</v>
      </c>
      <c r="L18" s="6">
        <v>16</v>
      </c>
      <c r="M18" s="6">
        <v>15</v>
      </c>
      <c r="N18" s="6">
        <v>18</v>
      </c>
      <c r="O18" s="6">
        <v>17</v>
      </c>
      <c r="P18" s="6">
        <v>19</v>
      </c>
      <c r="Q18" s="6" t="s">
        <v>16</v>
      </c>
      <c r="R18" s="7">
        <f>+AVERAGE(C18:Q18)</f>
        <v>16.5</v>
      </c>
      <c r="S18" s="8">
        <v>18</v>
      </c>
    </row>
    <row r="19" spans="1:19" x14ac:dyDescent="0.25">
      <c r="A19" s="6">
        <v>15</v>
      </c>
      <c r="B19" s="5" t="s">
        <v>32</v>
      </c>
      <c r="C19" s="6">
        <v>17</v>
      </c>
      <c r="D19" s="6">
        <v>16</v>
      </c>
      <c r="E19" s="6">
        <v>15</v>
      </c>
      <c r="F19" s="6">
        <v>14</v>
      </c>
      <c r="G19" s="6">
        <v>15</v>
      </c>
      <c r="H19" s="6">
        <v>18</v>
      </c>
      <c r="I19" s="6">
        <v>17</v>
      </c>
      <c r="J19" s="6">
        <v>19</v>
      </c>
      <c r="K19" s="6">
        <v>18</v>
      </c>
      <c r="L19" s="6">
        <v>16</v>
      </c>
      <c r="M19" s="6">
        <v>17</v>
      </c>
      <c r="N19" s="6">
        <v>18</v>
      </c>
      <c r="O19" s="6">
        <v>16</v>
      </c>
      <c r="P19" s="6">
        <v>18</v>
      </c>
      <c r="Q19" s="6" t="s">
        <v>16</v>
      </c>
      <c r="R19" s="7">
        <f>+AVERAGE(C19:Q19)</f>
        <v>16.714285714285715</v>
      </c>
      <c r="S19" s="8">
        <v>18</v>
      </c>
    </row>
    <row r="20" spans="1:19" x14ac:dyDescent="0.25">
      <c r="A20" s="6">
        <v>16</v>
      </c>
      <c r="B20" s="5" t="s">
        <v>33</v>
      </c>
      <c r="C20" s="6">
        <v>15</v>
      </c>
      <c r="D20" s="6">
        <v>14</v>
      </c>
      <c r="E20" s="6">
        <v>13</v>
      </c>
      <c r="F20" s="6">
        <v>16</v>
      </c>
      <c r="G20" s="6">
        <v>14</v>
      </c>
      <c r="H20" s="6">
        <v>18</v>
      </c>
      <c r="I20" s="6">
        <v>16</v>
      </c>
      <c r="J20" s="6">
        <v>18</v>
      </c>
      <c r="K20" s="6">
        <v>19</v>
      </c>
      <c r="L20" s="6">
        <v>15</v>
      </c>
      <c r="M20" s="6">
        <v>14</v>
      </c>
      <c r="N20" s="6">
        <v>16</v>
      </c>
      <c r="O20" s="6">
        <v>16</v>
      </c>
      <c r="P20" s="6">
        <v>17</v>
      </c>
      <c r="Q20" s="6" t="s">
        <v>16</v>
      </c>
      <c r="R20" s="7">
        <f>+AVERAGE(C20:Q20)</f>
        <v>15.785714285714286</v>
      </c>
      <c r="S20" s="8">
        <v>18</v>
      </c>
    </row>
    <row r="21" spans="1:19" x14ac:dyDescent="0.25">
      <c r="A21" s="6">
        <v>17</v>
      </c>
      <c r="B21" s="5" t="s">
        <v>34</v>
      </c>
      <c r="C21" s="6">
        <v>17</v>
      </c>
      <c r="D21" s="6">
        <v>16</v>
      </c>
      <c r="E21" s="6">
        <v>15</v>
      </c>
      <c r="F21" s="6">
        <v>17</v>
      </c>
      <c r="G21" s="6">
        <v>17</v>
      </c>
      <c r="H21" s="6">
        <v>18</v>
      </c>
      <c r="I21" s="6">
        <v>17</v>
      </c>
      <c r="J21" s="6">
        <v>20</v>
      </c>
      <c r="K21" s="6">
        <v>18</v>
      </c>
      <c r="L21" s="6">
        <v>17</v>
      </c>
      <c r="M21" s="6">
        <v>17</v>
      </c>
      <c r="N21" s="6">
        <v>17</v>
      </c>
      <c r="O21" s="6">
        <v>20</v>
      </c>
      <c r="P21" s="6">
        <v>18</v>
      </c>
      <c r="Q21" s="6" t="s">
        <v>16</v>
      </c>
      <c r="R21" s="7">
        <f>+AVERAGE(C21:Q21)</f>
        <v>17.428571428571427</v>
      </c>
      <c r="S21" s="8">
        <v>18</v>
      </c>
    </row>
    <row r="22" spans="1:19" x14ac:dyDescent="0.25">
      <c r="A22" s="6">
        <v>18</v>
      </c>
      <c r="B22" s="5" t="s">
        <v>35</v>
      </c>
      <c r="C22" s="6">
        <v>19</v>
      </c>
      <c r="D22" s="6">
        <v>15</v>
      </c>
      <c r="E22" s="6">
        <v>18</v>
      </c>
      <c r="F22" s="6">
        <v>19</v>
      </c>
      <c r="G22" s="6">
        <v>16</v>
      </c>
      <c r="H22" s="6">
        <v>19</v>
      </c>
      <c r="I22" s="6">
        <v>19</v>
      </c>
      <c r="J22" s="6">
        <v>20</v>
      </c>
      <c r="K22" s="6">
        <v>18</v>
      </c>
      <c r="L22" s="6">
        <v>19</v>
      </c>
      <c r="M22" s="6">
        <v>19</v>
      </c>
      <c r="N22" s="6">
        <v>20</v>
      </c>
      <c r="O22" s="6">
        <v>20</v>
      </c>
      <c r="P22" s="6">
        <v>20</v>
      </c>
      <c r="Q22" s="6" t="s">
        <v>16</v>
      </c>
      <c r="R22" s="7">
        <f>+AVERAGE(C22:Q22)</f>
        <v>18.642857142857142</v>
      </c>
      <c r="S22" s="8">
        <v>18</v>
      </c>
    </row>
    <row r="23" spans="1:19" x14ac:dyDescent="0.25">
      <c r="A23" s="6">
        <v>19</v>
      </c>
      <c r="B23" s="5" t="s">
        <v>36</v>
      </c>
      <c r="C23" s="6">
        <v>18</v>
      </c>
      <c r="D23" s="6">
        <v>17</v>
      </c>
      <c r="E23" s="6">
        <v>15</v>
      </c>
      <c r="F23" s="6">
        <v>18</v>
      </c>
      <c r="G23" s="6">
        <v>15</v>
      </c>
      <c r="H23" s="6">
        <v>18</v>
      </c>
      <c r="I23" s="6">
        <v>18</v>
      </c>
      <c r="J23" s="6">
        <v>19</v>
      </c>
      <c r="K23" s="6">
        <v>19</v>
      </c>
      <c r="L23" s="6">
        <v>18</v>
      </c>
      <c r="M23" s="6">
        <v>19</v>
      </c>
      <c r="N23" s="6">
        <v>19</v>
      </c>
      <c r="O23" s="6">
        <v>19</v>
      </c>
      <c r="P23" s="6">
        <v>18</v>
      </c>
      <c r="Q23" s="6" t="s">
        <v>16</v>
      </c>
      <c r="R23" s="7">
        <f>+AVERAGE(C23:Q23)</f>
        <v>17.857142857142858</v>
      </c>
      <c r="S23" s="8">
        <v>18</v>
      </c>
    </row>
    <row r="24" spans="1:19" x14ac:dyDescent="0.25">
      <c r="A24" s="6">
        <v>20</v>
      </c>
      <c r="B24" s="5" t="s">
        <v>37</v>
      </c>
      <c r="C24" s="6">
        <v>19</v>
      </c>
      <c r="D24" s="6">
        <v>19</v>
      </c>
      <c r="E24" s="6">
        <v>19</v>
      </c>
      <c r="F24" s="6">
        <v>19</v>
      </c>
      <c r="G24" s="6">
        <v>17</v>
      </c>
      <c r="H24" s="6">
        <v>19</v>
      </c>
      <c r="I24" s="6">
        <v>19</v>
      </c>
      <c r="J24" s="6">
        <v>20</v>
      </c>
      <c r="K24" s="6">
        <v>19</v>
      </c>
      <c r="L24" s="6">
        <v>18</v>
      </c>
      <c r="M24" s="6">
        <v>19</v>
      </c>
      <c r="N24" s="6">
        <v>19</v>
      </c>
      <c r="O24" s="6">
        <v>18</v>
      </c>
      <c r="P24" s="6">
        <v>19</v>
      </c>
      <c r="Q24" s="6" t="s">
        <v>16</v>
      </c>
      <c r="R24" s="7">
        <f>+AVERAGE(C24:Q24)</f>
        <v>18.785714285714285</v>
      </c>
      <c r="S24" s="8">
        <v>18</v>
      </c>
    </row>
    <row r="25" spans="1:19" x14ac:dyDescent="0.25">
      <c r="A25" s="6">
        <v>21</v>
      </c>
      <c r="B25" s="5" t="s">
        <v>38</v>
      </c>
      <c r="C25" s="6">
        <v>17</v>
      </c>
      <c r="D25" s="6">
        <v>17</v>
      </c>
      <c r="E25" s="6">
        <v>16</v>
      </c>
      <c r="F25" s="6">
        <v>18</v>
      </c>
      <c r="G25" s="6">
        <v>16</v>
      </c>
      <c r="H25" s="6">
        <v>18</v>
      </c>
      <c r="I25" s="6">
        <v>18</v>
      </c>
      <c r="J25" s="6">
        <v>19</v>
      </c>
      <c r="K25" s="6">
        <v>19</v>
      </c>
      <c r="L25" s="6">
        <v>17</v>
      </c>
      <c r="M25" s="6">
        <v>17</v>
      </c>
      <c r="N25" s="6">
        <v>18</v>
      </c>
      <c r="O25" s="6">
        <v>20</v>
      </c>
      <c r="P25" s="6">
        <v>19</v>
      </c>
      <c r="Q25" s="6" t="s">
        <v>16</v>
      </c>
      <c r="R25" s="7">
        <f>+AVERAGE(C25:Q25)</f>
        <v>17.785714285714285</v>
      </c>
      <c r="S25" s="8">
        <v>18</v>
      </c>
    </row>
    <row r="26" spans="1:19" x14ac:dyDescent="0.25">
      <c r="A26" s="6">
        <v>22</v>
      </c>
      <c r="B26" s="5" t="s">
        <v>39</v>
      </c>
      <c r="C26" s="6">
        <v>20</v>
      </c>
      <c r="D26" s="6">
        <v>19</v>
      </c>
      <c r="E26" s="6">
        <v>18</v>
      </c>
      <c r="F26" s="6">
        <v>19</v>
      </c>
      <c r="G26" s="6">
        <v>19</v>
      </c>
      <c r="H26" s="6">
        <v>18</v>
      </c>
      <c r="I26" s="6">
        <v>19</v>
      </c>
      <c r="J26" s="6">
        <v>20</v>
      </c>
      <c r="K26" s="6">
        <v>19</v>
      </c>
      <c r="L26" s="6">
        <v>19</v>
      </c>
      <c r="M26" s="6">
        <v>19</v>
      </c>
      <c r="N26" s="6">
        <v>19</v>
      </c>
      <c r="O26" s="6">
        <v>20</v>
      </c>
      <c r="P26" s="6">
        <v>19</v>
      </c>
      <c r="Q26" s="6" t="s">
        <v>16</v>
      </c>
      <c r="R26" s="7">
        <f>+AVERAGE(C26:Q26)</f>
        <v>19.071428571428573</v>
      </c>
      <c r="S26" s="8">
        <v>18</v>
      </c>
    </row>
    <row r="27" spans="1:19" x14ac:dyDescent="0.25">
      <c r="A27" s="6">
        <v>23</v>
      </c>
      <c r="B27" s="5" t="s">
        <v>40</v>
      </c>
      <c r="C27" s="6">
        <v>20</v>
      </c>
      <c r="D27" s="6">
        <v>17</v>
      </c>
      <c r="E27" s="6">
        <v>18</v>
      </c>
      <c r="F27" s="6">
        <v>20</v>
      </c>
      <c r="G27" s="6">
        <v>17</v>
      </c>
      <c r="H27" s="6">
        <v>18</v>
      </c>
      <c r="I27" s="6">
        <v>19</v>
      </c>
      <c r="J27" s="6">
        <v>19</v>
      </c>
      <c r="K27" s="6">
        <v>19</v>
      </c>
      <c r="L27" s="6">
        <v>18</v>
      </c>
      <c r="M27" s="6">
        <v>17</v>
      </c>
      <c r="N27" s="6">
        <v>19</v>
      </c>
      <c r="O27" s="6">
        <v>20</v>
      </c>
      <c r="P27" s="6">
        <v>19</v>
      </c>
      <c r="Q27" s="6" t="s">
        <v>16</v>
      </c>
      <c r="R27" s="7">
        <f>+AVERAGE(C27:Q27)</f>
        <v>18.571428571428573</v>
      </c>
      <c r="S27" s="8">
        <v>18</v>
      </c>
    </row>
    <row r="28" spans="1:19" x14ac:dyDescent="0.25">
      <c r="A28" s="6">
        <v>24</v>
      </c>
      <c r="B28" s="5" t="s">
        <v>41</v>
      </c>
      <c r="C28" s="6">
        <v>17</v>
      </c>
      <c r="D28" s="6">
        <v>15</v>
      </c>
      <c r="E28" s="6">
        <v>14</v>
      </c>
      <c r="F28" s="6">
        <v>17</v>
      </c>
      <c r="G28" s="6">
        <v>13</v>
      </c>
      <c r="H28" s="6">
        <v>17</v>
      </c>
      <c r="I28" s="6">
        <v>14</v>
      </c>
      <c r="J28" s="6">
        <v>19</v>
      </c>
      <c r="K28" s="6">
        <v>18</v>
      </c>
      <c r="L28" s="6">
        <v>17</v>
      </c>
      <c r="M28" s="6">
        <v>15</v>
      </c>
      <c r="N28" s="6">
        <v>19</v>
      </c>
      <c r="O28" s="6">
        <v>18</v>
      </c>
      <c r="P28" s="6">
        <v>17</v>
      </c>
      <c r="Q28" s="6" t="s">
        <v>16</v>
      </c>
      <c r="R28" s="7">
        <f>+AVERAGE(C28:Q28)</f>
        <v>16.428571428571427</v>
      </c>
      <c r="S28" s="8">
        <v>18</v>
      </c>
    </row>
    <row r="29" spans="1:19" x14ac:dyDescent="0.25">
      <c r="A29" s="6">
        <v>25</v>
      </c>
      <c r="B29" s="5" t="s">
        <v>42</v>
      </c>
      <c r="C29" s="6">
        <v>13</v>
      </c>
      <c r="D29" s="6">
        <v>16</v>
      </c>
      <c r="E29" s="6">
        <v>13</v>
      </c>
      <c r="F29" s="6">
        <v>14</v>
      </c>
      <c r="G29" s="6">
        <v>14</v>
      </c>
      <c r="H29" s="6">
        <v>17</v>
      </c>
      <c r="I29" s="6">
        <v>17</v>
      </c>
      <c r="J29" s="6">
        <v>19</v>
      </c>
      <c r="K29" s="6">
        <v>14</v>
      </c>
      <c r="L29" s="6">
        <v>14</v>
      </c>
      <c r="M29" s="6">
        <v>14</v>
      </c>
      <c r="N29" s="6">
        <v>14</v>
      </c>
      <c r="O29" s="6">
        <v>18</v>
      </c>
      <c r="P29" s="6">
        <v>19</v>
      </c>
      <c r="Q29" s="6" t="s">
        <v>16</v>
      </c>
      <c r="R29" s="7">
        <f>+AVERAGE(C29:Q29)</f>
        <v>15.428571428571429</v>
      </c>
      <c r="S29" s="8">
        <v>18</v>
      </c>
    </row>
    <row r="30" spans="1:19" x14ac:dyDescent="0.25">
      <c r="A30" s="6">
        <v>26</v>
      </c>
      <c r="B30" s="5" t="s">
        <v>43</v>
      </c>
      <c r="C30" s="6">
        <v>17</v>
      </c>
      <c r="D30" s="6">
        <v>17</v>
      </c>
      <c r="E30" s="6">
        <v>15</v>
      </c>
      <c r="F30" s="6">
        <v>17</v>
      </c>
      <c r="G30" s="6">
        <v>15</v>
      </c>
      <c r="H30" s="6">
        <v>17</v>
      </c>
      <c r="I30" s="6">
        <v>16</v>
      </c>
      <c r="J30" s="6">
        <v>20</v>
      </c>
      <c r="K30" s="6">
        <v>15</v>
      </c>
      <c r="L30" s="6">
        <v>15</v>
      </c>
      <c r="M30" s="6">
        <v>17</v>
      </c>
      <c r="N30" s="6">
        <v>16</v>
      </c>
      <c r="O30" s="6">
        <v>15</v>
      </c>
      <c r="P30" s="6">
        <v>17</v>
      </c>
      <c r="Q30" s="6" t="s">
        <v>16</v>
      </c>
      <c r="R30" s="7">
        <f>+AVERAGE(C30:Q30)</f>
        <v>16.357142857142858</v>
      </c>
      <c r="S30" s="8">
        <v>18</v>
      </c>
    </row>
    <row r="31" spans="1:19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</sheetData>
  <sortState xmlns:xlrd2="http://schemas.microsoft.com/office/spreadsheetml/2017/richdata2" ref="B5:S30">
    <sortCondition ref="B5:B30"/>
  </sortState>
  <mergeCells count="3">
    <mergeCell ref="A1:S1"/>
    <mergeCell ref="A2:S2"/>
    <mergeCell ref="A3:S3"/>
  </mergeCells>
  <printOptions horizontalCentered="1"/>
  <pageMargins left="0.70866141732283472" right="0.70866141732283472" top="0.55118110236220474" bottom="0.35433070866141736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0C26-2851-4687-8145-978F89334343}">
  <dimension ref="A1:C38"/>
  <sheetViews>
    <sheetView workbookViewId="0">
      <selection activeCell="B37" sqref="B37"/>
    </sheetView>
  </sheetViews>
  <sheetFormatPr baseColWidth="10" defaultRowHeight="15" x14ac:dyDescent="0.25"/>
  <cols>
    <col min="1" max="1" width="32.5703125" customWidth="1"/>
    <col min="2" max="2" width="18.28515625" customWidth="1"/>
    <col min="3" max="3" width="27.42578125" customWidth="1"/>
  </cols>
  <sheetData>
    <row r="1" spans="1:3" x14ac:dyDescent="0.25">
      <c r="A1" s="16" t="s">
        <v>49</v>
      </c>
      <c r="B1" s="16"/>
      <c r="C1" s="16"/>
    </row>
    <row r="2" spans="1:3" ht="18.75" x14ac:dyDescent="0.25">
      <c r="A2" s="14" t="s">
        <v>50</v>
      </c>
      <c r="B2" s="14"/>
      <c r="C2" s="14"/>
    </row>
    <row r="3" spans="1:3" ht="41.25" customHeight="1" x14ac:dyDescent="0.25">
      <c r="A3" s="17" t="s">
        <v>51</v>
      </c>
      <c r="B3" s="17"/>
      <c r="C3" s="17"/>
    </row>
    <row r="4" spans="1:3" x14ac:dyDescent="0.25">
      <c r="A4" s="16" t="s">
        <v>52</v>
      </c>
      <c r="B4" s="16"/>
      <c r="C4" s="16"/>
    </row>
    <row r="5" spans="1:3" ht="25.5" x14ac:dyDescent="0.25">
      <c r="A5" s="15" t="s">
        <v>53</v>
      </c>
      <c r="B5" s="15"/>
      <c r="C5" s="15"/>
    </row>
    <row r="6" spans="1:3" ht="18.75" x14ac:dyDescent="0.25">
      <c r="A6" s="14" t="s">
        <v>54</v>
      </c>
      <c r="B6" s="14"/>
      <c r="C6" s="14"/>
    </row>
    <row r="7" spans="1:3" ht="45" customHeight="1" x14ac:dyDescent="0.25">
      <c r="A7" s="18" t="s">
        <v>55</v>
      </c>
      <c r="B7" s="18"/>
      <c r="C7" s="18"/>
    </row>
    <row r="8" spans="1:3" ht="15.75" x14ac:dyDescent="0.25">
      <c r="A8" s="13" t="str">
        <f>+Cuadro!B5</f>
        <v>Almeida Lucas Yahaira</v>
      </c>
      <c r="B8" s="13"/>
      <c r="C8" s="13"/>
    </row>
    <row r="9" spans="1:3" ht="30" customHeight="1" x14ac:dyDescent="0.25">
      <c r="A9" s="21" t="s">
        <v>56</v>
      </c>
      <c r="B9" s="21"/>
      <c r="C9" s="21"/>
    </row>
    <row r="10" spans="1:3" ht="30" customHeight="1" x14ac:dyDescent="0.25">
      <c r="A10" s="22" t="s">
        <v>57</v>
      </c>
      <c r="B10" s="22" t="s">
        <v>58</v>
      </c>
      <c r="C10" s="22" t="s">
        <v>59</v>
      </c>
    </row>
    <row r="11" spans="1:3" ht="20.100000000000001" customHeight="1" x14ac:dyDescent="0.25">
      <c r="A11" s="23" t="s">
        <v>0</v>
      </c>
      <c r="B11" s="24">
        <f>+Cuadro!C5</f>
        <v>17</v>
      </c>
      <c r="C11" s="24" t="s">
        <v>60</v>
      </c>
    </row>
    <row r="12" spans="1:3" ht="20.100000000000001" customHeight="1" x14ac:dyDescent="0.25">
      <c r="A12" s="23" t="s">
        <v>1</v>
      </c>
      <c r="B12" s="24">
        <f>+Cuadro!D5</f>
        <v>17</v>
      </c>
      <c r="C12" s="24"/>
    </row>
    <row r="13" spans="1:3" ht="20.100000000000001" customHeight="1" x14ac:dyDescent="0.25">
      <c r="A13" s="23" t="s">
        <v>61</v>
      </c>
      <c r="B13" s="24">
        <f>+Cuadro!E5</f>
        <v>16</v>
      </c>
      <c r="C13" s="24"/>
    </row>
    <row r="14" spans="1:3" ht="20.100000000000001" customHeight="1" x14ac:dyDescent="0.25">
      <c r="A14" s="23" t="s">
        <v>3</v>
      </c>
      <c r="B14" s="24">
        <f>+Cuadro!F5</f>
        <v>17</v>
      </c>
      <c r="C14" s="24"/>
    </row>
    <row r="15" spans="1:3" ht="20.100000000000001" customHeight="1" x14ac:dyDescent="0.25">
      <c r="A15" s="23" t="s">
        <v>62</v>
      </c>
      <c r="B15" s="24">
        <f>+Cuadro!G5</f>
        <v>15</v>
      </c>
      <c r="C15" s="24"/>
    </row>
    <row r="16" spans="1:3" ht="20.100000000000001" customHeight="1" x14ac:dyDescent="0.25">
      <c r="A16" s="23" t="s">
        <v>5</v>
      </c>
      <c r="B16" s="24">
        <f>+Cuadro!H5</f>
        <v>17</v>
      </c>
      <c r="C16" s="24"/>
    </row>
    <row r="17" spans="1:3" ht="20.100000000000001" customHeight="1" x14ac:dyDescent="0.25">
      <c r="A17" s="23" t="s">
        <v>6</v>
      </c>
      <c r="B17" s="24">
        <f>+Cuadro!I5</f>
        <v>17</v>
      </c>
      <c r="C17" s="24"/>
    </row>
    <row r="18" spans="1:3" ht="20.100000000000001" customHeight="1" x14ac:dyDescent="0.25">
      <c r="A18" s="23" t="s">
        <v>63</v>
      </c>
      <c r="B18" s="24">
        <f>+Cuadro!J5</f>
        <v>20</v>
      </c>
      <c r="C18" s="24"/>
    </row>
    <row r="19" spans="1:3" ht="20.100000000000001" customHeight="1" x14ac:dyDescent="0.25">
      <c r="A19" s="23" t="s">
        <v>64</v>
      </c>
      <c r="B19" s="24">
        <f>+Cuadro!K5</f>
        <v>18</v>
      </c>
      <c r="C19" s="24"/>
    </row>
    <row r="20" spans="1:3" ht="20.100000000000001" customHeight="1" x14ac:dyDescent="0.25">
      <c r="A20" s="23" t="s">
        <v>65</v>
      </c>
      <c r="B20" s="24">
        <f>+Cuadro!L5</f>
        <v>16</v>
      </c>
      <c r="C20" s="24"/>
    </row>
    <row r="21" spans="1:3" ht="20.100000000000001" customHeight="1" x14ac:dyDescent="0.25">
      <c r="A21" s="23" t="s">
        <v>10</v>
      </c>
      <c r="B21" s="24">
        <f>+Cuadro!M5</f>
        <v>17</v>
      </c>
      <c r="C21" s="24"/>
    </row>
    <row r="22" spans="1:3" ht="20.100000000000001" customHeight="1" x14ac:dyDescent="0.25">
      <c r="A22" s="23" t="s">
        <v>11</v>
      </c>
      <c r="B22" s="24">
        <f>+Cuadro!N5</f>
        <v>19</v>
      </c>
      <c r="C22" s="24"/>
    </row>
    <row r="23" spans="1:3" ht="20.100000000000001" customHeight="1" x14ac:dyDescent="0.25">
      <c r="A23" s="23" t="s">
        <v>66</v>
      </c>
      <c r="B23" s="24">
        <f>+Cuadro!O5</f>
        <v>18</v>
      </c>
      <c r="C23" s="24"/>
    </row>
    <row r="24" spans="1:3" ht="20.100000000000001" customHeight="1" x14ac:dyDescent="0.25">
      <c r="A24" s="23" t="s">
        <v>13</v>
      </c>
      <c r="B24" s="24">
        <f>+Cuadro!P5</f>
        <v>19</v>
      </c>
      <c r="C24" s="24"/>
    </row>
    <row r="25" spans="1:3" ht="20.100000000000001" customHeight="1" x14ac:dyDescent="0.25">
      <c r="A25" s="23" t="s">
        <v>14</v>
      </c>
      <c r="B25" s="24" t="str">
        <f>+Cuadro!Q5</f>
        <v>A</v>
      </c>
      <c r="C25" s="24"/>
    </row>
    <row r="26" spans="1:3" ht="20.100000000000001" customHeight="1" x14ac:dyDescent="0.25">
      <c r="A26" s="25" t="s">
        <v>67</v>
      </c>
      <c r="B26" s="26">
        <f>+Cuadro!R5</f>
        <v>17.357142857142858</v>
      </c>
      <c r="C26" s="24"/>
    </row>
    <row r="27" spans="1:3" ht="20.100000000000001" customHeight="1" x14ac:dyDescent="0.25">
      <c r="A27" s="23" t="s">
        <v>48</v>
      </c>
      <c r="B27" s="24">
        <f>+Cuadro!S5</f>
        <v>18</v>
      </c>
      <c r="C27" s="24"/>
    </row>
    <row r="28" spans="1:3" ht="30" customHeight="1" x14ac:dyDescent="0.25"/>
    <row r="29" spans="1:3" ht="15.75" x14ac:dyDescent="0.25">
      <c r="A29" s="11" t="s">
        <v>68</v>
      </c>
    </row>
    <row r="30" spans="1:3" ht="15.75" x14ac:dyDescent="0.25">
      <c r="A30" s="11"/>
    </row>
    <row r="31" spans="1:3" ht="15.75" x14ac:dyDescent="0.25">
      <c r="A31" s="11" t="s">
        <v>69</v>
      </c>
    </row>
    <row r="32" spans="1:3" ht="15.75" x14ac:dyDescent="0.25">
      <c r="A32" s="11"/>
    </row>
    <row r="33" spans="1:1" ht="15.75" x14ac:dyDescent="0.25">
      <c r="A33" s="20" t="s">
        <v>70</v>
      </c>
    </row>
    <row r="34" spans="1:1" ht="15.75" x14ac:dyDescent="0.25">
      <c r="A34" s="19"/>
    </row>
    <row r="35" spans="1:1" ht="15.75" x14ac:dyDescent="0.25">
      <c r="A35" s="12"/>
    </row>
    <row r="36" spans="1:1" ht="15.75" x14ac:dyDescent="0.25">
      <c r="A36" s="12"/>
    </row>
    <row r="37" spans="1:1" ht="15.75" x14ac:dyDescent="0.25">
      <c r="A37" s="12"/>
    </row>
    <row r="38" spans="1:1" ht="15.75" x14ac:dyDescent="0.25">
      <c r="A38" s="12" t="s">
        <v>71</v>
      </c>
    </row>
  </sheetData>
  <mergeCells count="9">
    <mergeCell ref="A3:C3"/>
    <mergeCell ref="A2:C2"/>
    <mergeCell ref="A1:C1"/>
    <mergeCell ref="A9:C9"/>
    <mergeCell ref="A8:C8"/>
    <mergeCell ref="A7:C7"/>
    <mergeCell ref="A6:C6"/>
    <mergeCell ref="A5:C5"/>
    <mergeCell ref="A4:C4"/>
  </mergeCells>
  <printOptions horizontalCentered="1"/>
  <pageMargins left="0.70866141732283472" right="0.70866141732283472" top="0.55118110236220474" bottom="0.35433070866141736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</vt:lpstr>
      <vt:lpstr>Promoción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2025-07-11T17:27:52Z</cp:lastPrinted>
  <dcterms:created xsi:type="dcterms:W3CDTF">2022-01-06T19:14:27Z</dcterms:created>
  <dcterms:modified xsi:type="dcterms:W3CDTF">2025-07-11T17:30:03Z</dcterms:modified>
</cp:coreProperties>
</file>